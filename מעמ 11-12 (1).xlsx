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יווח" sheetId="1" r:id="rId5"/>
    <sheet state="visible" name="הכנסות" sheetId="2" r:id="rId6"/>
    <sheet state="visible" name="הוצאות" sheetId="3" r:id="rId7"/>
    <sheet state="visible" name="פירוט עסקאות וזיכויים" sheetId="4" r:id="rId8"/>
  </sheets>
  <definedNames/>
  <calcPr/>
</workbook>
</file>

<file path=xl/sharedStrings.xml><?xml version="1.0" encoding="utf-8"?>
<sst xmlns="http://schemas.openxmlformats.org/spreadsheetml/2006/main" count="444" uniqueCount="160">
  <si>
    <t>הכנסות</t>
  </si>
  <si>
    <t>הוצאות</t>
  </si>
  <si>
    <t>תשלום:</t>
  </si>
  <si>
    <t>הסכום</t>
  </si>
  <si>
    <t>המעמ</t>
  </si>
  <si>
    <t>סכום + מעמ</t>
  </si>
  <si>
    <t>עובר ושב</t>
  </si>
  <si>
    <t>חברה: 516943461 | ד.א. ונוס השקעות בע"מ</t>
  </si>
  <si>
    <t>חשבון: 0100481010 | ד.א. ונוס השקעות בע"מ</t>
  </si>
  <si>
    <t>הקודם: 746-0000-00-097571</t>
  </si>
  <si>
    <t>N/A</t>
  </si>
  <si>
    <t>תנועות אחרונות</t>
  </si>
  <si>
    <t>תאריך</t>
  </si>
  <si>
    <t>יום ערך</t>
  </si>
  <si>
    <t>תיאור התנועה</t>
  </si>
  <si>
    <t xml:space="preserve">₪ זכות/חובה </t>
  </si>
  <si>
    <t>אסמכתה</t>
  </si>
  <si>
    <t>עמלה</t>
  </si>
  <si>
    <t>ערוץ ביצוע</t>
  </si>
  <si>
    <t>ישראכרט</t>
  </si>
  <si>
    <t xml:space="preserve">1117      </t>
  </si>
  <si>
    <t>ערוץ ישיר</t>
  </si>
  <si>
    <t>יזום מחשב</t>
  </si>
  <si>
    <t xml:space="preserve">1118      </t>
  </si>
  <si>
    <t>אמריקן אקס</t>
  </si>
  <si>
    <t xml:space="preserve">1119      </t>
  </si>
  <si>
    <t xml:space="preserve">1122      </t>
  </si>
  <si>
    <t>ישראכרט ב</t>
  </si>
  <si>
    <t xml:space="preserve">1123      </t>
  </si>
  <si>
    <t xml:space="preserve">1125      </t>
  </si>
  <si>
    <t xml:space="preserve">1139      </t>
  </si>
  <si>
    <t xml:space="preserve">1141      </t>
  </si>
  <si>
    <t xml:space="preserve">1142      </t>
  </si>
  <si>
    <t xml:space="preserve">1143      </t>
  </si>
  <si>
    <t xml:space="preserve">1144      </t>
  </si>
  <si>
    <t xml:space="preserve">1145      </t>
  </si>
  <si>
    <t xml:space="preserve">1146      </t>
  </si>
  <si>
    <t xml:space="preserve">1152      </t>
  </si>
  <si>
    <t xml:space="preserve">1153      </t>
  </si>
  <si>
    <t xml:space="preserve">1154      </t>
  </si>
  <si>
    <t xml:space="preserve">1155      </t>
  </si>
  <si>
    <t xml:space="preserve">1156      </t>
  </si>
  <si>
    <t xml:space="preserve">1159      </t>
  </si>
  <si>
    <t xml:space="preserve">1163      </t>
  </si>
  <si>
    <t xml:space="preserve">1166      </t>
  </si>
  <si>
    <t xml:space="preserve">1167      </t>
  </si>
  <si>
    <t xml:space="preserve">1168      </t>
  </si>
  <si>
    <t xml:space="preserve">1169      </t>
  </si>
  <si>
    <t xml:space="preserve">1170      </t>
  </si>
  <si>
    <t xml:space="preserve">1171      </t>
  </si>
  <si>
    <t xml:space="preserve">1174      </t>
  </si>
  <si>
    <t xml:space="preserve">1175      </t>
  </si>
  <si>
    <t xml:space="preserve">1177      </t>
  </si>
  <si>
    <t xml:space="preserve">1178      </t>
  </si>
  <si>
    <t xml:space="preserve">1179      </t>
  </si>
  <si>
    <t xml:space="preserve">1181      </t>
  </si>
  <si>
    <t xml:space="preserve">1182      </t>
  </si>
  <si>
    <t xml:space="preserve">1183      </t>
  </si>
  <si>
    <t xml:space="preserve">1187      </t>
  </si>
  <si>
    <t xml:space="preserve">1188      </t>
  </si>
  <si>
    <t xml:space="preserve">1190      </t>
  </si>
  <si>
    <t xml:space="preserve">1191      </t>
  </si>
  <si>
    <t xml:space="preserve">1192      </t>
  </si>
  <si>
    <t xml:space="preserve">1193      </t>
  </si>
  <si>
    <t xml:space="preserve">1194      </t>
  </si>
  <si>
    <t xml:space="preserve">1195      </t>
  </si>
  <si>
    <t xml:space="preserve">1205      </t>
  </si>
  <si>
    <t xml:space="preserve">1206      </t>
  </si>
  <si>
    <t xml:space="preserve">1207      </t>
  </si>
  <si>
    <t xml:space="preserve">1208      </t>
  </si>
  <si>
    <t xml:space="preserve">1209      </t>
  </si>
  <si>
    <t xml:space="preserve">1210      </t>
  </si>
  <si>
    <t xml:space="preserve">1211      </t>
  </si>
  <si>
    <t xml:space="preserve">1212      </t>
  </si>
  <si>
    <t xml:space="preserve">1216      </t>
  </si>
  <si>
    <t xml:space="preserve">1220      </t>
  </si>
  <si>
    <t xml:space="preserve">1221      </t>
  </si>
  <si>
    <t xml:space="preserve">1223      </t>
  </si>
  <si>
    <t xml:space="preserve">1224      </t>
  </si>
  <si>
    <t xml:space="preserve">1225      </t>
  </si>
  <si>
    <t xml:space="preserve">1227      </t>
  </si>
  <si>
    <t xml:space="preserve">1228      </t>
  </si>
  <si>
    <t xml:space="preserve">1229      </t>
  </si>
  <si>
    <t xml:space="preserve">1230      </t>
  </si>
  <si>
    <t xml:space="preserve">1231      </t>
  </si>
  <si>
    <t xml:space="preserve">1232      </t>
  </si>
  <si>
    <t xml:space="preserve">1233      </t>
  </si>
  <si>
    <t xml:space="preserve">1234      </t>
  </si>
  <si>
    <t xml:space="preserve">1235      </t>
  </si>
  <si>
    <t xml:space="preserve">1236      </t>
  </si>
  <si>
    <t xml:space="preserve">1237      </t>
  </si>
  <si>
    <t xml:space="preserve">1240      </t>
  </si>
  <si>
    <t>ה</t>
  </si>
  <si>
    <t xml:space="preserve">₪ יתרה </t>
  </si>
  <si>
    <t>הע. לויקטור זףאדן בסניף 18-001</t>
  </si>
  <si>
    <t>1115/99719</t>
  </si>
  <si>
    <t>אינטרנט</t>
  </si>
  <si>
    <t>עמלת פעולה בערוץ ישיר- מט", לפי 46 יח'</t>
  </si>
  <si>
    <t xml:space="preserve">1121      </t>
  </si>
  <si>
    <t>סניף</t>
  </si>
  <si>
    <t>1124/99719</t>
  </si>
  <si>
    <t>הע. ליואל גורן בסניף 20-576</t>
  </si>
  <si>
    <t>1127/99719</t>
  </si>
  <si>
    <t>עמלת חליפין כנגד ח-ן מט"י</t>
  </si>
  <si>
    <t xml:space="preserve">1130/29   </t>
  </si>
  <si>
    <t>עמלת מידע עמלות</t>
  </si>
  <si>
    <t xml:space="preserve">1131/94   </t>
  </si>
  <si>
    <t xml:space="preserve">1132/94   </t>
  </si>
  <si>
    <t>עמלת אישור ריבית / דנ"ח-מט"י</t>
  </si>
  <si>
    <t xml:space="preserve">1133/94   </t>
  </si>
  <si>
    <t>עמלת הקצאת אשראי מט"י-עסקי</t>
  </si>
  <si>
    <t xml:space="preserve">1134      </t>
  </si>
  <si>
    <t>עמלת מסמכי קו אשראי,עסקי-מט"י</t>
  </si>
  <si>
    <t xml:space="preserve">1135      </t>
  </si>
  <si>
    <t>הע. לסטאקפלסט בעמ בסניף 10-800</t>
  </si>
  <si>
    <t>1137/99719</t>
  </si>
  <si>
    <t>הע. לק אקספרס בסניף 20-552</t>
  </si>
  <si>
    <t>1140/99719</t>
  </si>
  <si>
    <t>מס הכנסה נ חיוב</t>
  </si>
  <si>
    <t xml:space="preserve">1160      </t>
  </si>
  <si>
    <t xml:space="preserve">1165/83   </t>
  </si>
  <si>
    <t>1176/99719</t>
  </si>
  <si>
    <t>עמלת פעולה בערוץ ישיר- מט", לפי 51 יח'</t>
  </si>
  <si>
    <t xml:space="preserve">1180      </t>
  </si>
  <si>
    <t>העברה לחסן חסן - קרטו הגליל</t>
  </si>
  <si>
    <t>1189/99719</t>
  </si>
  <si>
    <t xml:space="preserve">1200/94   </t>
  </si>
  <si>
    <t>1201/99719</t>
  </si>
  <si>
    <t>1204/99719</t>
  </si>
  <si>
    <t xml:space="preserve">1218/29   </t>
  </si>
  <si>
    <t>תשלום ריבית על משיכת יתר- מינוס</t>
  </si>
  <si>
    <t xml:space="preserve">1238      </t>
  </si>
  <si>
    <t xml:space="preserve">1239      </t>
  </si>
  <si>
    <t>אשראי עם מעמ</t>
  </si>
  <si>
    <t>סהכ כולל מעמ</t>
  </si>
  <si>
    <t>פירוט עסקאות לידידיה דן לחשבון מרכנתיל דיסקונט 100481010</t>
  </si>
  <si>
    <t>תאריך
עסקה</t>
  </si>
  <si>
    <t>שם בית עסק</t>
  </si>
  <si>
    <t>סכום
בש"ח</t>
  </si>
  <si>
    <t>סכום
בדולר</t>
  </si>
  <si>
    <t>כרטיס</t>
  </si>
  <si>
    <t>מועד
חיוב</t>
  </si>
  <si>
    <t>סוג
עסקה</t>
  </si>
  <si>
    <t>מזהה כרטיס
בארנק דיגילטי</t>
  </si>
  <si>
    <t>הערות</t>
  </si>
  <si>
    <t>מיטב ציוד משרדי</t>
  </si>
  <si>
    <t>ויזה 4150</t>
  </si>
  <si>
    <t>רגילה</t>
  </si>
  <si>
    <t>FLASHY</t>
  </si>
  <si>
    <t>ויזה 4176</t>
  </si>
  <si>
    <t>הוראת קבע</t>
  </si>
  <si>
    <t>סכום העסקה הוא 480.95 $</t>
  </si>
  <si>
    <t>דמי כרטיס בנק מרכנתיל</t>
  </si>
  <si>
    <t>דמי חבר</t>
  </si>
  <si>
    <t>ויזה 9710</t>
  </si>
  <si>
    <t>סכום העסקה הוא 295.0 $</t>
  </si>
  <si>
    <t>פיי פלוס</t>
  </si>
  <si>
    <t>סכום העסקה הוא 473.2 $</t>
  </si>
  <si>
    <t>סכום העסקה הוא 295.0 $
עסקה בחיוב מיידי</t>
  </si>
  <si>
    <t>סה״כ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</si>
</sst>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₪]#,##0.00"/>
    <numFmt numFmtId="165" formatCode="#,##0.0"/>
    <numFmt numFmtId="166" formatCode="[$-,101]d/m/yy"/>
    <numFmt numFmtId="167" formatCode="[$₪] #,##0.00"/>
    <numFmt numFmtId="168" formatCode="[$$] #,##0.00"/>
    <numFmt numFmtId="169" formatCode="[$אינטרנט] 0000"/>
    <numFmt numFmtId="170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Calibri"/>
    </font>
    <font>
      <sz val="10.0"/>
      <color theme="1"/>
      <name val="Calibri"/>
    </font>
    <font>
      <sz val="10.0"/>
      <color rgb="FFFFFFFF"/>
      <name val="Calibri"/>
    </font>
    <font>
      <b/>
      <sz val="12.0"/>
      <color theme="1"/>
      <name val="Calibri"/>
    </font>
    <font>
      <b/>
      <sz val="10.0"/>
      <color rgb="FFFFFFFF"/>
      <name val="Calibri"/>
    </font>
    <font>
      <sz val="12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B8400"/>
        <bgColor rgb="FF2B84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right" readingOrder="2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1"/>
    </xf>
    <xf borderId="0" fillId="0" fontId="5" numFmtId="0" xfId="0" applyAlignment="1" applyFont="1">
      <alignment horizontal="right" readingOrder="2"/>
    </xf>
    <xf borderId="1" fillId="2" fontId="6" numFmtId="0" xfId="0" applyAlignment="1" applyBorder="1" applyFill="1" applyFont="1">
      <alignment horizontal="right" readingOrder="2" vertical="center"/>
    </xf>
    <xf borderId="0" fillId="0" fontId="3" numFmtId="14" xfId="0" applyAlignment="1" applyFont="1" applyNumberFormat="1">
      <alignment horizontal="right" readingOrder="2"/>
    </xf>
    <xf borderId="0" fillId="0" fontId="3" numFmtId="0" xfId="0" applyAlignment="1" applyFont="1">
      <alignment horizontal="right" readingOrder="2"/>
    </xf>
    <xf borderId="0" fillId="0" fontId="3" numFmtId="4" xfId="0" applyAlignment="1" applyFont="1" applyNumberFormat="1">
      <alignment horizontal="right" readingOrder="1"/>
    </xf>
    <xf borderId="0" fillId="0" fontId="3" numFmtId="165" xfId="0" applyAlignment="1" applyFont="1" applyNumberFormat="1">
      <alignment horizontal="right" readingOrder="1"/>
    </xf>
    <xf borderId="0" fillId="0" fontId="2" numFmtId="0" xfId="0" applyAlignment="1" applyFont="1">
      <alignment horizontal="right" readingOrder="2"/>
    </xf>
    <xf borderId="0" fillId="0" fontId="3" numFmtId="3" xfId="0" applyAlignment="1" applyFont="1" applyNumberFormat="1">
      <alignment horizontal="right" readingOrder="1"/>
    </xf>
    <xf borderId="0" fillId="0" fontId="7" numFmtId="0" xfId="0" applyAlignment="1" applyFont="1">
      <alignment horizontal="right" readingOrder="0" shrinkToFit="0" vertical="bottom" wrapText="0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7" numFmtId="166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7" numFmtId="167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0" fontId="7" numFmtId="168" xfId="0" applyAlignment="1" applyBorder="1" applyFont="1" applyNumberFormat="1">
      <alignment horizontal="center" shrinkToFit="0" vertical="center" wrapText="0"/>
    </xf>
    <xf borderId="2" fillId="0" fontId="7" numFmtId="169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70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2">
      <c r="B2" s="1" t="s">
        <v>0</v>
      </c>
      <c r="C2" s="1" t="s">
        <v>1</v>
      </c>
      <c r="E2" s="1" t="s">
        <v>2</v>
      </c>
    </row>
    <row r="3">
      <c r="A3" s="1" t="s">
        <v>3</v>
      </c>
      <c r="B3" s="2">
        <v>146658.47</v>
      </c>
      <c r="C3" s="2">
        <v>86188.14</v>
      </c>
      <c r="E3" s="3"/>
    </row>
    <row r="4">
      <c r="A4" s="1" t="s">
        <v>4</v>
      </c>
      <c r="B4" s="2">
        <v>26398.0</v>
      </c>
      <c r="C4" s="2">
        <v>15513.86</v>
      </c>
      <c r="E4" s="3">
        <f>B4-C4</f>
        <v>10884.14</v>
      </c>
    </row>
    <row r="5">
      <c r="A5" s="1" t="s">
        <v>5</v>
      </c>
      <c r="B5" s="2">
        <f>SUM('הכנסות'!D10:D77)</f>
        <v>173057.04</v>
      </c>
      <c r="C5" s="2">
        <f>'הוצאות'!D36</f>
        <v>101702.955</v>
      </c>
      <c r="E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2.63" defaultRowHeight="15.75"/>
  <cols>
    <col customWidth="1" min="1" max="1" width="36.5"/>
    <col customWidth="1" min="2" max="2" width="9.38"/>
    <col customWidth="1" min="3" max="3" width="44.38"/>
    <col customWidth="1" min="4" max="4" width="11.13"/>
    <col customWidth="1" min="5" max="5" width="9.38"/>
    <col customWidth="1" min="6" max="6" width="8.5"/>
    <col customWidth="1" min="7" max="7" width="9.38"/>
  </cols>
  <sheetData>
    <row r="1">
      <c r="A1" s="4" t="s">
        <v>6</v>
      </c>
    </row>
    <row r="2">
      <c r="A2" s="5" t="s">
        <v>7</v>
      </c>
    </row>
    <row r="3">
      <c r="A3" s="5" t="s">
        <v>8</v>
      </c>
    </row>
    <row r="4">
      <c r="A4" s="5" t="s">
        <v>9</v>
      </c>
    </row>
    <row r="5">
      <c r="A5" s="6" t="s">
        <v>10</v>
      </c>
    </row>
    <row r="6">
      <c r="A6" s="6" t="s">
        <v>10</v>
      </c>
    </row>
    <row r="7">
      <c r="A7" s="7" t="s">
        <v>11</v>
      </c>
    </row>
    <row r="8">
      <c r="A8" s="6" t="s">
        <v>10</v>
      </c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</row>
    <row r="10">
      <c r="A10" s="9">
        <v>45963.0</v>
      </c>
      <c r="B10" s="9">
        <v>45963.0</v>
      </c>
      <c r="C10" s="10" t="s">
        <v>19</v>
      </c>
      <c r="D10" s="11">
        <v>58336.19</v>
      </c>
      <c r="E10" s="10" t="s">
        <v>20</v>
      </c>
      <c r="F10" s="10" t="s">
        <v>21</v>
      </c>
      <c r="G10" s="10" t="s">
        <v>22</v>
      </c>
    </row>
    <row r="11">
      <c r="A11" s="9">
        <v>45963.0</v>
      </c>
      <c r="B11" s="9">
        <v>45963.0</v>
      </c>
      <c r="C11" s="10" t="s">
        <v>19</v>
      </c>
      <c r="D11" s="11">
        <v>240.48</v>
      </c>
      <c r="E11" s="10" t="s">
        <v>23</v>
      </c>
      <c r="F11" s="10" t="s">
        <v>21</v>
      </c>
      <c r="G11" s="10" t="s">
        <v>22</v>
      </c>
    </row>
    <row r="12">
      <c r="A12" s="9">
        <v>45963.0</v>
      </c>
      <c r="B12" s="9">
        <v>45963.0</v>
      </c>
      <c r="C12" s="10" t="s">
        <v>24</v>
      </c>
      <c r="D12" s="11">
        <v>4368.71</v>
      </c>
      <c r="E12" s="10" t="s">
        <v>25</v>
      </c>
      <c r="F12" s="10" t="s">
        <v>21</v>
      </c>
      <c r="G12" s="10" t="s">
        <v>22</v>
      </c>
    </row>
    <row r="13">
      <c r="A13" s="9">
        <v>45964.0</v>
      </c>
      <c r="B13" s="9">
        <v>45964.0</v>
      </c>
      <c r="C13" s="10" t="s">
        <v>19</v>
      </c>
      <c r="D13" s="11">
        <v>436.95</v>
      </c>
      <c r="E13" s="10" t="s">
        <v>26</v>
      </c>
      <c r="F13" s="10" t="s">
        <v>21</v>
      </c>
      <c r="G13" s="10" t="s">
        <v>22</v>
      </c>
    </row>
    <row r="14">
      <c r="A14" s="9">
        <v>45964.0</v>
      </c>
      <c r="B14" s="9">
        <v>45964.0</v>
      </c>
      <c r="C14" s="10" t="s">
        <v>27</v>
      </c>
      <c r="D14" s="11">
        <v>763.04</v>
      </c>
      <c r="E14" s="10" t="s">
        <v>28</v>
      </c>
      <c r="F14" s="10" t="s">
        <v>21</v>
      </c>
      <c r="G14" s="10" t="s">
        <v>22</v>
      </c>
    </row>
    <row r="15">
      <c r="A15" s="9">
        <v>45965.0</v>
      </c>
      <c r="B15" s="9">
        <v>45965.0</v>
      </c>
      <c r="C15" s="10" t="s">
        <v>19</v>
      </c>
      <c r="D15" s="11">
        <v>4.99</v>
      </c>
      <c r="E15" s="10" t="s">
        <v>29</v>
      </c>
      <c r="F15" s="10" t="s">
        <v>21</v>
      </c>
      <c r="G15" s="10" t="s">
        <v>22</v>
      </c>
    </row>
    <row r="16">
      <c r="A16" s="9">
        <v>45970.0</v>
      </c>
      <c r="B16" s="9">
        <v>45970.0</v>
      </c>
      <c r="C16" s="10" t="s">
        <v>19</v>
      </c>
      <c r="D16" s="11">
        <v>857.11</v>
      </c>
      <c r="E16" s="10" t="s">
        <v>30</v>
      </c>
      <c r="F16" s="10" t="s">
        <v>21</v>
      </c>
      <c r="G16" s="10" t="s">
        <v>22</v>
      </c>
    </row>
    <row r="17">
      <c r="A17" s="9">
        <v>45971.0</v>
      </c>
      <c r="B17" s="9">
        <v>45971.0</v>
      </c>
      <c r="C17" s="10" t="s">
        <v>19</v>
      </c>
      <c r="D17" s="11">
        <v>608.26</v>
      </c>
      <c r="E17" s="10" t="s">
        <v>31</v>
      </c>
      <c r="F17" s="10" t="s">
        <v>21</v>
      </c>
      <c r="G17" s="10" t="s">
        <v>22</v>
      </c>
    </row>
    <row r="18">
      <c r="A18" s="9">
        <v>45973.0</v>
      </c>
      <c r="B18" s="9">
        <v>45973.0</v>
      </c>
      <c r="C18" s="10" t="s">
        <v>19</v>
      </c>
      <c r="D18" s="11">
        <v>861.62</v>
      </c>
      <c r="E18" s="10" t="s">
        <v>32</v>
      </c>
      <c r="F18" s="10" t="s">
        <v>21</v>
      </c>
      <c r="G18" s="10" t="s">
        <v>22</v>
      </c>
    </row>
    <row r="19">
      <c r="A19" s="9">
        <v>45974.0</v>
      </c>
      <c r="B19" s="9">
        <v>45974.0</v>
      </c>
      <c r="C19" s="10" t="s">
        <v>19</v>
      </c>
      <c r="D19" s="12">
        <v>264.2</v>
      </c>
      <c r="E19" s="10" t="s">
        <v>33</v>
      </c>
      <c r="F19" s="10" t="s">
        <v>21</v>
      </c>
      <c r="G19" s="10" t="s">
        <v>22</v>
      </c>
    </row>
    <row r="20">
      <c r="A20" s="9">
        <v>45974.0</v>
      </c>
      <c r="B20" s="9">
        <v>45974.0</v>
      </c>
      <c r="C20" s="10" t="s">
        <v>27</v>
      </c>
      <c r="D20" s="11">
        <v>255.87</v>
      </c>
      <c r="E20" s="10" t="s">
        <v>34</v>
      </c>
      <c r="F20" s="10" t="s">
        <v>21</v>
      </c>
      <c r="G20" s="10" t="s">
        <v>22</v>
      </c>
    </row>
    <row r="21">
      <c r="A21" s="9">
        <v>45975.0</v>
      </c>
      <c r="B21" s="9">
        <v>45975.0</v>
      </c>
      <c r="C21" s="10" t="s">
        <v>19</v>
      </c>
      <c r="D21" s="12">
        <v>145.9</v>
      </c>
      <c r="E21" s="10" t="s">
        <v>35</v>
      </c>
      <c r="F21" s="10" t="s">
        <v>21</v>
      </c>
      <c r="G21" s="10" t="s">
        <v>22</v>
      </c>
    </row>
    <row r="22">
      <c r="A22" s="9">
        <v>45975.0</v>
      </c>
      <c r="B22" s="9">
        <v>45975.0</v>
      </c>
      <c r="C22" s="10" t="s">
        <v>27</v>
      </c>
      <c r="D22" s="11">
        <v>529.39</v>
      </c>
      <c r="E22" s="10" t="s">
        <v>36</v>
      </c>
      <c r="F22" s="10" t="s">
        <v>21</v>
      </c>
      <c r="G22" s="10" t="s">
        <v>22</v>
      </c>
    </row>
    <row r="23">
      <c r="A23" s="9">
        <v>45977.0</v>
      </c>
      <c r="B23" s="9">
        <v>45977.0</v>
      </c>
      <c r="C23" s="10" t="s">
        <v>19</v>
      </c>
      <c r="D23" s="11">
        <v>1518.18</v>
      </c>
      <c r="E23" s="10" t="s">
        <v>37</v>
      </c>
      <c r="F23" s="10" t="s">
        <v>21</v>
      </c>
      <c r="G23" s="10" t="s">
        <v>22</v>
      </c>
    </row>
    <row r="24">
      <c r="A24" s="9">
        <v>45977.0</v>
      </c>
      <c r="B24" s="9">
        <v>45977.0</v>
      </c>
      <c r="C24" s="10" t="s">
        <v>27</v>
      </c>
      <c r="D24" s="11">
        <v>961.18</v>
      </c>
      <c r="E24" s="10" t="s">
        <v>38</v>
      </c>
      <c r="F24" s="10" t="s">
        <v>21</v>
      </c>
      <c r="G24" s="10" t="s">
        <v>22</v>
      </c>
    </row>
    <row r="25">
      <c r="A25" s="9">
        <v>45978.0</v>
      </c>
      <c r="B25" s="9">
        <v>45978.0</v>
      </c>
      <c r="C25" s="10" t="s">
        <v>19</v>
      </c>
      <c r="D25" s="11">
        <v>342.98</v>
      </c>
      <c r="E25" s="10" t="s">
        <v>39</v>
      </c>
      <c r="F25" s="10" t="s">
        <v>21</v>
      </c>
      <c r="G25" s="10" t="s">
        <v>22</v>
      </c>
    </row>
    <row r="26">
      <c r="A26" s="9">
        <v>45978.0</v>
      </c>
      <c r="B26" s="9">
        <v>45978.0</v>
      </c>
      <c r="C26" s="10" t="s">
        <v>27</v>
      </c>
      <c r="D26" s="11">
        <v>539.25</v>
      </c>
      <c r="E26" s="10" t="s">
        <v>40</v>
      </c>
      <c r="F26" s="10" t="s">
        <v>21</v>
      </c>
      <c r="G26" s="10" t="s">
        <v>22</v>
      </c>
    </row>
    <row r="27">
      <c r="A27" s="9">
        <v>45980.0</v>
      </c>
      <c r="B27" s="9">
        <v>45980.0</v>
      </c>
      <c r="C27" s="10" t="s">
        <v>19</v>
      </c>
      <c r="D27" s="11">
        <v>335.27</v>
      </c>
      <c r="E27" s="10" t="s">
        <v>41</v>
      </c>
      <c r="F27" s="10" t="s">
        <v>21</v>
      </c>
      <c r="G27" s="10" t="s">
        <v>22</v>
      </c>
    </row>
    <row r="28">
      <c r="A28" s="9">
        <v>45981.0</v>
      </c>
      <c r="B28" s="9">
        <v>45981.0</v>
      </c>
      <c r="C28" s="10" t="s">
        <v>27</v>
      </c>
      <c r="D28" s="11">
        <v>235.61</v>
      </c>
      <c r="E28" s="10" t="s">
        <v>42</v>
      </c>
      <c r="F28" s="10" t="s">
        <v>21</v>
      </c>
      <c r="G28" s="10" t="s">
        <v>22</v>
      </c>
    </row>
    <row r="29">
      <c r="A29" s="9">
        <v>45984.0</v>
      </c>
      <c r="B29" s="9">
        <v>45984.0</v>
      </c>
      <c r="C29" s="10" t="s">
        <v>19</v>
      </c>
      <c r="D29" s="12">
        <v>549.1</v>
      </c>
      <c r="E29" s="10" t="s">
        <v>43</v>
      </c>
      <c r="F29" s="10" t="s">
        <v>21</v>
      </c>
      <c r="G29" s="10" t="s">
        <v>22</v>
      </c>
    </row>
    <row r="30">
      <c r="A30" s="9">
        <v>45985.0</v>
      </c>
      <c r="B30" s="9">
        <v>45985.0</v>
      </c>
      <c r="C30" s="10" t="s">
        <v>19</v>
      </c>
      <c r="D30" s="11">
        <v>667.52</v>
      </c>
      <c r="E30" s="10" t="s">
        <v>44</v>
      </c>
      <c r="F30" s="10" t="s">
        <v>21</v>
      </c>
      <c r="G30" s="10" t="s">
        <v>22</v>
      </c>
    </row>
    <row r="31">
      <c r="A31" s="9">
        <v>45985.0</v>
      </c>
      <c r="B31" s="9">
        <v>45985.0</v>
      </c>
      <c r="C31" s="10" t="s">
        <v>27</v>
      </c>
      <c r="D31" s="11">
        <v>628.96</v>
      </c>
      <c r="E31" s="10" t="s">
        <v>45</v>
      </c>
      <c r="F31" s="10" t="s">
        <v>21</v>
      </c>
      <c r="G31" s="10" t="s">
        <v>22</v>
      </c>
    </row>
    <row r="32">
      <c r="A32" s="9">
        <v>45987.0</v>
      </c>
      <c r="B32" s="9">
        <v>45987.0</v>
      </c>
      <c r="C32" s="10" t="s">
        <v>19</v>
      </c>
      <c r="D32" s="11">
        <v>1355.51</v>
      </c>
      <c r="E32" s="10" t="s">
        <v>46</v>
      </c>
      <c r="F32" s="10" t="s">
        <v>21</v>
      </c>
      <c r="G32" s="10" t="s">
        <v>22</v>
      </c>
    </row>
    <row r="33">
      <c r="A33" s="9">
        <v>45987.0</v>
      </c>
      <c r="B33" s="9">
        <v>45987.0</v>
      </c>
      <c r="C33" s="10" t="s">
        <v>27</v>
      </c>
      <c r="D33" s="11">
        <v>393.35</v>
      </c>
      <c r="E33" s="10" t="s">
        <v>47</v>
      </c>
      <c r="F33" s="10" t="s">
        <v>21</v>
      </c>
      <c r="G33" s="10" t="s">
        <v>22</v>
      </c>
    </row>
    <row r="34">
      <c r="A34" s="9">
        <v>45988.0</v>
      </c>
      <c r="B34" s="9">
        <v>45988.0</v>
      </c>
      <c r="C34" s="10" t="s">
        <v>19</v>
      </c>
      <c r="D34" s="11">
        <v>705.85</v>
      </c>
      <c r="E34" s="10" t="s">
        <v>48</v>
      </c>
      <c r="F34" s="10" t="s">
        <v>21</v>
      </c>
      <c r="G34" s="10" t="s">
        <v>22</v>
      </c>
    </row>
    <row r="35">
      <c r="A35" s="9">
        <v>45988.0</v>
      </c>
      <c r="B35" s="9">
        <v>45988.0</v>
      </c>
      <c r="C35" s="10" t="s">
        <v>27</v>
      </c>
      <c r="D35" s="11">
        <v>175.47</v>
      </c>
      <c r="E35" s="10" t="s">
        <v>49</v>
      </c>
      <c r="F35" s="10" t="s">
        <v>21</v>
      </c>
      <c r="G35" s="10" t="s">
        <v>22</v>
      </c>
    </row>
    <row r="36">
      <c r="A36" s="9">
        <v>45989.0</v>
      </c>
      <c r="B36" s="9">
        <v>45989.0</v>
      </c>
      <c r="C36" s="10" t="s">
        <v>19</v>
      </c>
      <c r="D36" s="11">
        <v>156.75</v>
      </c>
      <c r="E36" s="10" t="s">
        <v>50</v>
      </c>
      <c r="F36" s="10" t="s">
        <v>21</v>
      </c>
      <c r="G36" s="10" t="s">
        <v>22</v>
      </c>
    </row>
    <row r="37">
      <c r="A37" s="9">
        <v>45989.0</v>
      </c>
      <c r="B37" s="9">
        <v>45989.0</v>
      </c>
      <c r="C37" s="10" t="s">
        <v>27</v>
      </c>
      <c r="D37" s="11">
        <v>617.12</v>
      </c>
      <c r="E37" s="10" t="s">
        <v>51</v>
      </c>
      <c r="F37" s="10" t="s">
        <v>21</v>
      </c>
      <c r="G37" s="10" t="s">
        <v>22</v>
      </c>
    </row>
    <row r="38">
      <c r="A38" s="9">
        <v>45991.0</v>
      </c>
      <c r="B38" s="9">
        <v>45991.0</v>
      </c>
      <c r="C38" s="10" t="s">
        <v>19</v>
      </c>
      <c r="D38" s="11">
        <v>1047.94</v>
      </c>
      <c r="E38" s="10" t="s">
        <v>52</v>
      </c>
      <c r="F38" s="10" t="s">
        <v>21</v>
      </c>
      <c r="G38" s="10" t="s">
        <v>22</v>
      </c>
    </row>
    <row r="39">
      <c r="A39" s="9">
        <v>45991.0</v>
      </c>
      <c r="B39" s="9">
        <v>45991.0</v>
      </c>
      <c r="C39" s="10" t="s">
        <v>27</v>
      </c>
      <c r="D39" s="12">
        <v>528.4</v>
      </c>
      <c r="E39" s="10" t="s">
        <v>53</v>
      </c>
      <c r="F39" s="10" t="s">
        <v>21</v>
      </c>
      <c r="G39" s="10" t="s">
        <v>22</v>
      </c>
    </row>
    <row r="40">
      <c r="A40" s="9">
        <v>45992.0</v>
      </c>
      <c r="B40" s="9">
        <v>45992.0</v>
      </c>
      <c r="C40" s="10" t="s">
        <v>19</v>
      </c>
      <c r="D40" s="11">
        <v>636.76</v>
      </c>
      <c r="E40" s="10" t="s">
        <v>54</v>
      </c>
      <c r="F40" s="10" t="s">
        <v>21</v>
      </c>
      <c r="G40" s="10" t="s">
        <v>22</v>
      </c>
    </row>
    <row r="41">
      <c r="A41" s="9">
        <v>45993.0</v>
      </c>
      <c r="B41" s="9">
        <v>45993.0</v>
      </c>
      <c r="C41" s="10" t="s">
        <v>19</v>
      </c>
      <c r="D41" s="11">
        <v>65319.24</v>
      </c>
      <c r="E41" s="10" t="s">
        <v>55</v>
      </c>
      <c r="F41" s="10" t="s">
        <v>21</v>
      </c>
      <c r="G41" s="10" t="s">
        <v>22</v>
      </c>
    </row>
    <row r="42">
      <c r="A42" s="9">
        <v>45993.0</v>
      </c>
      <c r="B42" s="9">
        <v>45993.0</v>
      </c>
      <c r="C42" s="10" t="s">
        <v>19</v>
      </c>
      <c r="D42" s="11">
        <v>738.82</v>
      </c>
      <c r="E42" s="10" t="s">
        <v>56</v>
      </c>
      <c r="F42" s="10" t="s">
        <v>21</v>
      </c>
      <c r="G42" s="10" t="s">
        <v>22</v>
      </c>
    </row>
    <row r="43">
      <c r="A43" s="9">
        <v>45993.0</v>
      </c>
      <c r="B43" s="9">
        <v>45993.0</v>
      </c>
      <c r="C43" s="10" t="s">
        <v>24</v>
      </c>
      <c r="D43" s="12">
        <v>8555.4</v>
      </c>
      <c r="E43" s="10" t="s">
        <v>57</v>
      </c>
      <c r="F43" s="10" t="s">
        <v>21</v>
      </c>
      <c r="G43" s="10" t="s">
        <v>22</v>
      </c>
    </row>
    <row r="44">
      <c r="A44" s="9">
        <v>45994.0</v>
      </c>
      <c r="B44" s="9">
        <v>45994.0</v>
      </c>
      <c r="C44" s="10" t="s">
        <v>19</v>
      </c>
      <c r="D44" s="11">
        <v>175.47</v>
      </c>
      <c r="E44" s="10" t="s">
        <v>58</v>
      </c>
      <c r="F44" s="10" t="s">
        <v>21</v>
      </c>
      <c r="G44" s="10" t="s">
        <v>22</v>
      </c>
    </row>
    <row r="45">
      <c r="A45" s="9">
        <v>45994.0</v>
      </c>
      <c r="B45" s="9">
        <v>45994.0</v>
      </c>
      <c r="C45" s="10" t="s">
        <v>19</v>
      </c>
      <c r="D45" s="11">
        <v>12.14</v>
      </c>
      <c r="E45" s="10" t="s">
        <v>59</v>
      </c>
      <c r="F45" s="10" t="s">
        <v>21</v>
      </c>
      <c r="G45" s="10" t="s">
        <v>22</v>
      </c>
    </row>
    <row r="46">
      <c r="A46" s="9">
        <v>45995.0</v>
      </c>
      <c r="B46" s="9">
        <v>45995.0</v>
      </c>
      <c r="C46" s="10" t="s">
        <v>27</v>
      </c>
      <c r="D46" s="11">
        <v>755.22</v>
      </c>
      <c r="E46" s="10" t="s">
        <v>60</v>
      </c>
      <c r="F46" s="10" t="s">
        <v>21</v>
      </c>
      <c r="G46" s="10" t="s">
        <v>22</v>
      </c>
    </row>
    <row r="47">
      <c r="A47" s="9">
        <v>45996.0</v>
      </c>
      <c r="B47" s="9">
        <v>45996.0</v>
      </c>
      <c r="C47" s="10" t="s">
        <v>19</v>
      </c>
      <c r="D47" s="11">
        <v>1263.84</v>
      </c>
      <c r="E47" s="10" t="s">
        <v>61</v>
      </c>
      <c r="F47" s="10" t="s">
        <v>21</v>
      </c>
      <c r="G47" s="10" t="s">
        <v>22</v>
      </c>
    </row>
    <row r="48">
      <c r="A48" s="9">
        <v>45996.0</v>
      </c>
      <c r="B48" s="9">
        <v>45996.0</v>
      </c>
      <c r="C48" s="10" t="s">
        <v>27</v>
      </c>
      <c r="D48" s="11">
        <v>313.49</v>
      </c>
      <c r="E48" s="10" t="s">
        <v>62</v>
      </c>
      <c r="F48" s="10" t="s">
        <v>21</v>
      </c>
      <c r="G48" s="10" t="s">
        <v>22</v>
      </c>
    </row>
    <row r="49">
      <c r="A49" s="9">
        <v>45998.0</v>
      </c>
      <c r="B49" s="9">
        <v>45998.0</v>
      </c>
      <c r="C49" s="10" t="s">
        <v>19</v>
      </c>
      <c r="D49" s="11">
        <v>548.12</v>
      </c>
      <c r="E49" s="10" t="s">
        <v>63</v>
      </c>
      <c r="F49" s="10" t="s">
        <v>21</v>
      </c>
      <c r="G49" s="10" t="s">
        <v>22</v>
      </c>
    </row>
    <row r="50">
      <c r="A50" s="9">
        <v>45998.0</v>
      </c>
      <c r="B50" s="9">
        <v>45998.0</v>
      </c>
      <c r="C50" s="10" t="s">
        <v>27</v>
      </c>
      <c r="D50" s="11">
        <v>662.48</v>
      </c>
      <c r="E50" s="10" t="s">
        <v>64</v>
      </c>
      <c r="F50" s="10" t="s">
        <v>21</v>
      </c>
      <c r="G50" s="10" t="s">
        <v>22</v>
      </c>
    </row>
    <row r="51">
      <c r="A51" s="9">
        <v>45999.0</v>
      </c>
      <c r="B51" s="9">
        <v>45999.0</v>
      </c>
      <c r="C51" s="10" t="s">
        <v>19</v>
      </c>
      <c r="D51" s="11">
        <v>254.34</v>
      </c>
      <c r="E51" s="10" t="s">
        <v>65</v>
      </c>
      <c r="F51" s="10" t="s">
        <v>21</v>
      </c>
      <c r="G51" s="10" t="s">
        <v>22</v>
      </c>
    </row>
    <row r="52">
      <c r="A52" s="9">
        <v>46001.0</v>
      </c>
      <c r="B52" s="9">
        <v>46001.0</v>
      </c>
      <c r="C52" s="10" t="s">
        <v>19</v>
      </c>
      <c r="D52" s="11">
        <v>971.04</v>
      </c>
      <c r="E52" s="10" t="s">
        <v>66</v>
      </c>
      <c r="F52" s="10" t="s">
        <v>21</v>
      </c>
      <c r="G52" s="10" t="s">
        <v>22</v>
      </c>
    </row>
    <row r="53">
      <c r="A53" s="9">
        <v>46001.0</v>
      </c>
      <c r="B53" s="9">
        <v>46001.0</v>
      </c>
      <c r="C53" s="10" t="s">
        <v>27</v>
      </c>
      <c r="D53" s="11">
        <v>1386.18</v>
      </c>
      <c r="E53" s="10" t="s">
        <v>67</v>
      </c>
      <c r="F53" s="10" t="s">
        <v>21</v>
      </c>
      <c r="G53" s="10" t="s">
        <v>22</v>
      </c>
    </row>
    <row r="54">
      <c r="A54" s="9">
        <v>46002.0</v>
      </c>
      <c r="B54" s="9">
        <v>46002.0</v>
      </c>
      <c r="C54" s="10" t="s">
        <v>19</v>
      </c>
      <c r="D54" s="11">
        <v>704.11</v>
      </c>
      <c r="E54" s="10" t="s">
        <v>68</v>
      </c>
      <c r="F54" s="10" t="s">
        <v>21</v>
      </c>
      <c r="G54" s="10" t="s">
        <v>22</v>
      </c>
    </row>
    <row r="55">
      <c r="A55" s="9">
        <v>46002.0</v>
      </c>
      <c r="B55" s="9">
        <v>46002.0</v>
      </c>
      <c r="C55" s="10" t="s">
        <v>27</v>
      </c>
      <c r="D55" s="11">
        <v>303.63</v>
      </c>
      <c r="E55" s="10" t="s">
        <v>69</v>
      </c>
      <c r="F55" s="10" t="s">
        <v>21</v>
      </c>
      <c r="G55" s="10" t="s">
        <v>22</v>
      </c>
    </row>
    <row r="56">
      <c r="A56" s="9">
        <v>46003.0</v>
      </c>
      <c r="B56" s="9">
        <v>46003.0</v>
      </c>
      <c r="C56" s="10" t="s">
        <v>19</v>
      </c>
      <c r="D56" s="11">
        <v>293.78</v>
      </c>
      <c r="E56" s="10" t="s">
        <v>70</v>
      </c>
      <c r="F56" s="10" t="s">
        <v>21</v>
      </c>
      <c r="G56" s="10" t="s">
        <v>22</v>
      </c>
    </row>
    <row r="57">
      <c r="A57" s="9">
        <v>46003.0</v>
      </c>
      <c r="B57" s="9">
        <v>46003.0</v>
      </c>
      <c r="C57" s="10" t="s">
        <v>27</v>
      </c>
      <c r="D57" s="11">
        <v>727.55</v>
      </c>
      <c r="E57" s="10" t="s">
        <v>71</v>
      </c>
      <c r="F57" s="10" t="s">
        <v>21</v>
      </c>
      <c r="G57" s="10" t="s">
        <v>22</v>
      </c>
    </row>
    <row r="58">
      <c r="A58" s="9">
        <v>46005.0</v>
      </c>
      <c r="B58" s="9">
        <v>46005.0</v>
      </c>
      <c r="C58" s="10" t="s">
        <v>19</v>
      </c>
      <c r="D58" s="11">
        <v>470.25</v>
      </c>
      <c r="E58" s="10" t="s">
        <v>72</v>
      </c>
      <c r="F58" s="10" t="s">
        <v>21</v>
      </c>
      <c r="G58" s="10" t="s">
        <v>22</v>
      </c>
    </row>
    <row r="59">
      <c r="A59" s="9">
        <v>46005.0</v>
      </c>
      <c r="B59" s="9">
        <v>46005.0</v>
      </c>
      <c r="C59" s="10" t="s">
        <v>27</v>
      </c>
      <c r="D59" s="11">
        <v>772.89</v>
      </c>
      <c r="E59" s="10" t="s">
        <v>73</v>
      </c>
      <c r="F59" s="10" t="s">
        <v>21</v>
      </c>
      <c r="G59" s="10" t="s">
        <v>22</v>
      </c>
    </row>
    <row r="60">
      <c r="A60" s="9">
        <v>46006.0</v>
      </c>
      <c r="B60" s="9">
        <v>46006.0</v>
      </c>
      <c r="C60" s="10" t="s">
        <v>19</v>
      </c>
      <c r="D60" s="11">
        <v>1166.24</v>
      </c>
      <c r="E60" s="10" t="s">
        <v>74</v>
      </c>
      <c r="F60" s="10" t="s">
        <v>21</v>
      </c>
      <c r="G60" s="10" t="s">
        <v>22</v>
      </c>
    </row>
    <row r="61">
      <c r="A61" s="9">
        <v>46008.0</v>
      </c>
      <c r="B61" s="9">
        <v>46008.0</v>
      </c>
      <c r="C61" s="10" t="s">
        <v>19</v>
      </c>
      <c r="D61" s="11">
        <v>509.67</v>
      </c>
      <c r="E61" s="10" t="s">
        <v>75</v>
      </c>
      <c r="F61" s="10" t="s">
        <v>21</v>
      </c>
      <c r="G61" s="10" t="s">
        <v>22</v>
      </c>
    </row>
    <row r="62">
      <c r="A62" s="9">
        <v>46008.0</v>
      </c>
      <c r="B62" s="9">
        <v>46008.0</v>
      </c>
      <c r="C62" s="10" t="s">
        <v>27</v>
      </c>
      <c r="D62" s="11">
        <v>1287.82</v>
      </c>
      <c r="E62" s="10" t="s">
        <v>76</v>
      </c>
      <c r="F62" s="10" t="s">
        <v>21</v>
      </c>
      <c r="G62" s="10" t="s">
        <v>22</v>
      </c>
    </row>
    <row r="63">
      <c r="A63" s="9">
        <v>46009.0</v>
      </c>
      <c r="B63" s="9">
        <v>46009.0</v>
      </c>
      <c r="C63" s="10" t="s">
        <v>27</v>
      </c>
      <c r="D63" s="11">
        <v>372.74</v>
      </c>
      <c r="E63" s="10" t="s">
        <v>77</v>
      </c>
      <c r="F63" s="10" t="s">
        <v>21</v>
      </c>
      <c r="G63" s="10" t="s">
        <v>22</v>
      </c>
    </row>
    <row r="64">
      <c r="A64" s="9">
        <v>46010.0</v>
      </c>
      <c r="B64" s="9">
        <v>46010.0</v>
      </c>
      <c r="C64" s="10" t="s">
        <v>19</v>
      </c>
      <c r="D64" s="11">
        <v>509.67</v>
      </c>
      <c r="E64" s="10" t="s">
        <v>78</v>
      </c>
      <c r="F64" s="10" t="s">
        <v>21</v>
      </c>
      <c r="G64" s="10" t="s">
        <v>22</v>
      </c>
    </row>
    <row r="65">
      <c r="A65" s="9">
        <v>46010.0</v>
      </c>
      <c r="B65" s="9">
        <v>46010.0</v>
      </c>
      <c r="C65" s="10" t="s">
        <v>27</v>
      </c>
      <c r="D65" s="11">
        <v>245.47</v>
      </c>
      <c r="E65" s="10" t="s">
        <v>79</v>
      </c>
      <c r="F65" s="10" t="s">
        <v>21</v>
      </c>
      <c r="G65" s="10" t="s">
        <v>22</v>
      </c>
    </row>
    <row r="66">
      <c r="A66" s="9">
        <v>46012.0</v>
      </c>
      <c r="B66" s="9">
        <v>46012.0</v>
      </c>
      <c r="C66" s="10" t="s">
        <v>19</v>
      </c>
      <c r="D66" s="11">
        <v>1417.64</v>
      </c>
      <c r="E66" s="10" t="s">
        <v>80</v>
      </c>
      <c r="F66" s="10" t="s">
        <v>21</v>
      </c>
      <c r="G66" s="10" t="s">
        <v>22</v>
      </c>
    </row>
    <row r="67">
      <c r="A67" s="9">
        <v>46012.0</v>
      </c>
      <c r="B67" s="9">
        <v>46012.0</v>
      </c>
      <c r="C67" s="10" t="s">
        <v>27</v>
      </c>
      <c r="D67" s="11">
        <v>608.26</v>
      </c>
      <c r="E67" s="10" t="s">
        <v>81</v>
      </c>
      <c r="F67" s="10" t="s">
        <v>21</v>
      </c>
      <c r="G67" s="10" t="s">
        <v>22</v>
      </c>
    </row>
    <row r="68">
      <c r="A68" s="9">
        <v>46013.0</v>
      </c>
      <c r="B68" s="9">
        <v>46013.0</v>
      </c>
      <c r="C68" s="10" t="s">
        <v>19</v>
      </c>
      <c r="D68" s="11">
        <v>205.05</v>
      </c>
      <c r="E68" s="10" t="s">
        <v>82</v>
      </c>
      <c r="F68" s="10" t="s">
        <v>21</v>
      </c>
      <c r="G68" s="10" t="s">
        <v>22</v>
      </c>
    </row>
    <row r="69">
      <c r="A69" s="9">
        <v>46013.0</v>
      </c>
      <c r="B69" s="9">
        <v>46013.0</v>
      </c>
      <c r="C69" s="10" t="s">
        <v>27</v>
      </c>
      <c r="D69" s="11">
        <v>351.95</v>
      </c>
      <c r="E69" s="10" t="s">
        <v>83</v>
      </c>
      <c r="F69" s="10" t="s">
        <v>21</v>
      </c>
      <c r="G69" s="10" t="s">
        <v>22</v>
      </c>
    </row>
    <row r="70">
      <c r="A70" s="9">
        <v>46015.0</v>
      </c>
      <c r="B70" s="9">
        <v>46015.0</v>
      </c>
      <c r="C70" s="10" t="s">
        <v>19</v>
      </c>
      <c r="D70" s="11">
        <v>420.95</v>
      </c>
      <c r="E70" s="10" t="s">
        <v>84</v>
      </c>
      <c r="F70" s="10" t="s">
        <v>21</v>
      </c>
      <c r="G70" s="10" t="s">
        <v>22</v>
      </c>
    </row>
    <row r="71">
      <c r="A71" s="9">
        <v>46015.0</v>
      </c>
      <c r="B71" s="9">
        <v>46015.0</v>
      </c>
      <c r="C71" s="10" t="s">
        <v>27</v>
      </c>
      <c r="D71" s="11">
        <v>420.95</v>
      </c>
      <c r="E71" s="10" t="s">
        <v>85</v>
      </c>
      <c r="F71" s="10" t="s">
        <v>21</v>
      </c>
      <c r="G71" s="10" t="s">
        <v>22</v>
      </c>
    </row>
    <row r="72">
      <c r="A72" s="9">
        <v>46016.0</v>
      </c>
      <c r="B72" s="9">
        <v>46016.0</v>
      </c>
      <c r="C72" s="10" t="s">
        <v>27</v>
      </c>
      <c r="D72" s="11">
        <v>460.39</v>
      </c>
      <c r="E72" s="10" t="s">
        <v>86</v>
      </c>
      <c r="F72" s="10" t="s">
        <v>21</v>
      </c>
      <c r="G72" s="10" t="s">
        <v>22</v>
      </c>
    </row>
    <row r="73">
      <c r="A73" s="9">
        <v>46019.0</v>
      </c>
      <c r="B73" s="9">
        <v>46019.0</v>
      </c>
      <c r="C73" s="10" t="s">
        <v>19</v>
      </c>
      <c r="D73" s="11">
        <v>666.42</v>
      </c>
      <c r="E73" s="10" t="s">
        <v>87</v>
      </c>
      <c r="F73" s="10" t="s">
        <v>21</v>
      </c>
      <c r="G73" s="10" t="s">
        <v>22</v>
      </c>
    </row>
    <row r="74">
      <c r="A74" s="9">
        <v>46019.0</v>
      </c>
      <c r="B74" s="9">
        <v>46019.0</v>
      </c>
      <c r="C74" s="10" t="s">
        <v>27</v>
      </c>
      <c r="D74" s="11">
        <v>393.35</v>
      </c>
      <c r="E74" s="10" t="s">
        <v>88</v>
      </c>
      <c r="F74" s="10" t="s">
        <v>21</v>
      </c>
      <c r="G74" s="10" t="s">
        <v>22</v>
      </c>
    </row>
    <row r="75">
      <c r="A75" s="9">
        <v>46020.0</v>
      </c>
      <c r="B75" s="9">
        <v>46020.0</v>
      </c>
      <c r="C75" s="10" t="s">
        <v>19</v>
      </c>
      <c r="D75" s="11">
        <v>39.43</v>
      </c>
      <c r="E75" s="10" t="s">
        <v>89</v>
      </c>
      <c r="F75" s="10" t="s">
        <v>21</v>
      </c>
      <c r="G75" s="10" t="s">
        <v>22</v>
      </c>
    </row>
    <row r="76">
      <c r="A76" s="9">
        <v>46020.0</v>
      </c>
      <c r="B76" s="9">
        <v>46020.0</v>
      </c>
      <c r="C76" s="10" t="s">
        <v>27</v>
      </c>
      <c r="D76" s="11">
        <v>175.47</v>
      </c>
      <c r="E76" s="10" t="s">
        <v>90</v>
      </c>
      <c r="F76" s="10" t="s">
        <v>21</v>
      </c>
      <c r="G76" s="10" t="s">
        <v>22</v>
      </c>
    </row>
    <row r="77">
      <c r="A77" s="9">
        <v>46022.0</v>
      </c>
      <c r="B77" s="9">
        <v>46022.0</v>
      </c>
      <c r="C77" s="10" t="s">
        <v>19</v>
      </c>
      <c r="D77" s="11">
        <v>509.67</v>
      </c>
      <c r="E77" s="10" t="s">
        <v>91</v>
      </c>
      <c r="F77" s="10" t="s">
        <v>21</v>
      </c>
      <c r="G77" s="10" t="s">
        <v>22</v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rightToLeft="1" workbookViewId="0"/>
  </sheetViews>
  <sheetFormatPr customHeight="1" defaultColWidth="12.63" defaultRowHeight="15.75"/>
  <cols>
    <col customWidth="1" min="1" max="1" width="36.5"/>
    <col customWidth="1" min="2" max="2" width="9.38"/>
    <col customWidth="1" min="3" max="3" width="39.13"/>
    <col customWidth="1" min="4" max="4" width="11.13"/>
    <col customWidth="1" min="5" max="5" width="6.75"/>
    <col customWidth="1" min="6" max="6" width="9.38"/>
    <col customWidth="1" min="7" max="7" width="8.5"/>
    <col customWidth="1" min="8" max="8" width="9.38"/>
  </cols>
  <sheetData>
    <row r="1">
      <c r="A1" s="13" t="s">
        <v>92</v>
      </c>
    </row>
    <row r="2">
      <c r="A2" s="5" t="s">
        <v>7</v>
      </c>
    </row>
    <row r="3">
      <c r="A3" s="5" t="s">
        <v>8</v>
      </c>
    </row>
    <row r="4">
      <c r="A4" s="5" t="s">
        <v>9</v>
      </c>
    </row>
    <row r="5">
      <c r="A5" s="6" t="s">
        <v>10</v>
      </c>
    </row>
    <row r="6">
      <c r="A6" s="6" t="s">
        <v>10</v>
      </c>
    </row>
    <row r="7">
      <c r="A7" s="7" t="s">
        <v>11</v>
      </c>
    </row>
    <row r="8">
      <c r="A8" s="6" t="s">
        <v>10</v>
      </c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93</v>
      </c>
      <c r="F9" s="8" t="s">
        <v>16</v>
      </c>
      <c r="G9" s="8" t="s">
        <v>17</v>
      </c>
      <c r="H9" s="8" t="s">
        <v>18</v>
      </c>
    </row>
    <row r="10">
      <c r="A10" s="9">
        <v>45963.0</v>
      </c>
      <c r="B10" s="9">
        <v>45963.0</v>
      </c>
      <c r="C10" s="10" t="s">
        <v>94</v>
      </c>
      <c r="D10" s="14">
        <v>-6431.0</v>
      </c>
      <c r="E10" s="11">
        <v>19443.67</v>
      </c>
      <c r="F10" s="10" t="s">
        <v>95</v>
      </c>
      <c r="G10" s="10" t="s">
        <v>21</v>
      </c>
      <c r="H10" s="10" t="s">
        <v>96</v>
      </c>
    </row>
    <row r="11">
      <c r="A11" s="9">
        <v>45964.0</v>
      </c>
      <c r="B11" s="9">
        <v>45961.0</v>
      </c>
      <c r="C11" s="10" t="s">
        <v>97</v>
      </c>
      <c r="D11" s="14">
        <v>-92.0</v>
      </c>
      <c r="E11" s="11">
        <v>152029.58</v>
      </c>
      <c r="F11" s="10" t="s">
        <v>98</v>
      </c>
      <c r="G11" s="10"/>
      <c r="H11" s="10" t="s">
        <v>99</v>
      </c>
    </row>
    <row r="12">
      <c r="A12" s="9">
        <v>45965.0</v>
      </c>
      <c r="B12" s="9">
        <v>45965.0</v>
      </c>
      <c r="C12" s="10" t="s">
        <v>94</v>
      </c>
      <c r="D12" s="14">
        <v>-20000.0</v>
      </c>
      <c r="E12" s="11">
        <v>133229.57</v>
      </c>
      <c r="F12" s="10" t="s">
        <v>100</v>
      </c>
      <c r="G12" s="10" t="s">
        <v>21</v>
      </c>
      <c r="H12" s="10" t="s">
        <v>96</v>
      </c>
    </row>
    <row r="13">
      <c r="A13" s="9">
        <v>45966.0</v>
      </c>
      <c r="B13" s="9">
        <v>45966.0</v>
      </c>
      <c r="C13" s="10" t="s">
        <v>101</v>
      </c>
      <c r="D13" s="14">
        <v>-1180.0</v>
      </c>
      <c r="E13" s="12">
        <v>128697.7</v>
      </c>
      <c r="F13" s="10" t="s">
        <v>102</v>
      </c>
      <c r="G13" s="10" t="s">
        <v>21</v>
      </c>
      <c r="H13" s="10" t="s">
        <v>96</v>
      </c>
    </row>
    <row r="14">
      <c r="A14" s="9">
        <v>45966.0</v>
      </c>
      <c r="B14" s="9">
        <v>45966.0</v>
      </c>
      <c r="C14" s="10" t="s">
        <v>103</v>
      </c>
      <c r="D14" s="11">
        <v>-113.99</v>
      </c>
      <c r="E14" s="11">
        <v>26583.71</v>
      </c>
      <c r="F14" s="10" t="s">
        <v>104</v>
      </c>
      <c r="G14" s="10"/>
      <c r="H14" s="10" t="s">
        <v>99</v>
      </c>
    </row>
    <row r="15">
      <c r="A15" s="9">
        <v>45966.0</v>
      </c>
      <c r="B15" s="9">
        <v>45966.0</v>
      </c>
      <c r="C15" s="10" t="s">
        <v>105</v>
      </c>
      <c r="D15" s="14">
        <v>-15.0</v>
      </c>
      <c r="E15" s="11">
        <v>26568.71</v>
      </c>
      <c r="F15" s="10" t="s">
        <v>106</v>
      </c>
      <c r="G15" s="10"/>
      <c r="H15" s="10" t="s">
        <v>99</v>
      </c>
    </row>
    <row r="16">
      <c r="A16" s="9">
        <v>45966.0</v>
      </c>
      <c r="B16" s="9">
        <v>45966.0</v>
      </c>
      <c r="C16" s="10" t="s">
        <v>105</v>
      </c>
      <c r="D16" s="14">
        <v>-15.0</v>
      </c>
      <c r="E16" s="11">
        <v>26553.71</v>
      </c>
      <c r="F16" s="10" t="s">
        <v>107</v>
      </c>
      <c r="G16" s="10"/>
      <c r="H16" s="10" t="s">
        <v>99</v>
      </c>
    </row>
    <row r="17">
      <c r="A17" s="9">
        <v>45966.0</v>
      </c>
      <c r="B17" s="9">
        <v>45966.0</v>
      </c>
      <c r="C17" s="10" t="s">
        <v>108</v>
      </c>
      <c r="D17" s="14">
        <v>-55.0</v>
      </c>
      <c r="E17" s="11">
        <v>26498.71</v>
      </c>
      <c r="F17" s="10" t="s">
        <v>109</v>
      </c>
      <c r="G17" s="10"/>
      <c r="H17" s="10" t="s">
        <v>99</v>
      </c>
    </row>
    <row r="18">
      <c r="A18" s="9">
        <v>45966.0</v>
      </c>
      <c r="B18" s="9">
        <v>45965.0</v>
      </c>
      <c r="C18" s="10" t="s">
        <v>110</v>
      </c>
      <c r="D18" s="11">
        <v>-156.16</v>
      </c>
      <c r="E18" s="11">
        <v>26342.55</v>
      </c>
      <c r="F18" s="10" t="s">
        <v>111</v>
      </c>
      <c r="G18" s="10"/>
      <c r="H18" s="10" t="s">
        <v>99</v>
      </c>
    </row>
    <row r="19">
      <c r="A19" s="9">
        <v>45966.0</v>
      </c>
      <c r="B19" s="9">
        <v>45965.0</v>
      </c>
      <c r="C19" s="10" t="s">
        <v>112</v>
      </c>
      <c r="D19" s="14">
        <v>-540.0</v>
      </c>
      <c r="E19" s="11">
        <v>25802.55</v>
      </c>
      <c r="F19" s="10" t="s">
        <v>113</v>
      </c>
      <c r="G19" s="10"/>
      <c r="H19" s="10" t="s">
        <v>22</v>
      </c>
    </row>
    <row r="20">
      <c r="A20" s="9">
        <v>45967.0</v>
      </c>
      <c r="B20" s="9">
        <v>45967.0</v>
      </c>
      <c r="C20" s="10" t="s">
        <v>114</v>
      </c>
      <c r="D20" s="14">
        <v>-5267.0</v>
      </c>
      <c r="E20" s="11">
        <v>19274.55</v>
      </c>
      <c r="F20" s="10" t="s">
        <v>115</v>
      </c>
      <c r="G20" s="10" t="s">
        <v>21</v>
      </c>
      <c r="H20" s="10" t="s">
        <v>96</v>
      </c>
    </row>
    <row r="21">
      <c r="A21" s="9">
        <v>45971.0</v>
      </c>
      <c r="B21" s="9">
        <v>45971.0</v>
      </c>
      <c r="C21" s="10" t="s">
        <v>116</v>
      </c>
      <c r="D21" s="14">
        <v>-18638.0</v>
      </c>
      <c r="E21" s="11">
        <v>25667.73</v>
      </c>
      <c r="F21" s="10" t="s">
        <v>117</v>
      </c>
      <c r="G21" s="10" t="s">
        <v>21</v>
      </c>
      <c r="H21" s="10" t="s">
        <v>96</v>
      </c>
    </row>
    <row r="22">
      <c r="A22" s="9">
        <v>45981.0</v>
      </c>
      <c r="B22" s="9">
        <v>45981.0</v>
      </c>
      <c r="C22" s="10" t="s">
        <v>118</v>
      </c>
      <c r="D22" s="14">
        <v>-367.0</v>
      </c>
      <c r="E22" s="11">
        <v>21474.38</v>
      </c>
      <c r="F22" s="10" t="s">
        <v>119</v>
      </c>
      <c r="G22" s="10" t="s">
        <v>21</v>
      </c>
      <c r="H22" s="10" t="s">
        <v>22</v>
      </c>
    </row>
    <row r="23">
      <c r="A23" s="9">
        <v>45985.0</v>
      </c>
      <c r="B23" s="9">
        <v>45985.0</v>
      </c>
      <c r="C23" s="10" t="s">
        <v>103</v>
      </c>
      <c r="D23" s="11">
        <v>-29.91</v>
      </c>
      <c r="E23" s="11">
        <v>-4344.34</v>
      </c>
      <c r="F23" s="10" t="s">
        <v>120</v>
      </c>
      <c r="G23" s="10"/>
      <c r="H23" s="10" t="s">
        <v>99</v>
      </c>
    </row>
    <row r="24">
      <c r="A24" s="9">
        <v>45991.0</v>
      </c>
      <c r="B24" s="9">
        <v>45991.0</v>
      </c>
      <c r="C24" s="10" t="s">
        <v>114</v>
      </c>
      <c r="D24" s="14">
        <v>-590.0</v>
      </c>
      <c r="E24" s="11">
        <v>3766.19</v>
      </c>
      <c r="F24" s="10" t="s">
        <v>121</v>
      </c>
      <c r="G24" s="10" t="s">
        <v>21</v>
      </c>
      <c r="H24" s="10" t="s">
        <v>96</v>
      </c>
    </row>
    <row r="25">
      <c r="A25" s="9">
        <v>45993.0</v>
      </c>
      <c r="B25" s="9">
        <v>45991.0</v>
      </c>
      <c r="C25" s="10" t="s">
        <v>122</v>
      </c>
      <c r="D25" s="14">
        <v>-102.0</v>
      </c>
      <c r="E25" s="11">
        <v>5877.29</v>
      </c>
      <c r="F25" s="10" t="s">
        <v>123</v>
      </c>
      <c r="G25" s="10"/>
      <c r="H25" s="10" t="s">
        <v>99</v>
      </c>
    </row>
    <row r="26">
      <c r="A26" s="9">
        <v>45995.0</v>
      </c>
      <c r="B26" s="9">
        <v>45995.0</v>
      </c>
      <c r="C26" s="10" t="s">
        <v>124</v>
      </c>
      <c r="D26" s="14">
        <v>-12000.0</v>
      </c>
      <c r="E26" s="11">
        <v>167724.91</v>
      </c>
      <c r="F26" s="10" t="s">
        <v>125</v>
      </c>
      <c r="G26" s="10" t="s">
        <v>21</v>
      </c>
      <c r="H26" s="10" t="s">
        <v>96</v>
      </c>
    </row>
    <row r="27">
      <c r="A27" s="9">
        <v>46000.0</v>
      </c>
      <c r="B27" s="9">
        <v>46000.0</v>
      </c>
      <c r="C27" s="10" t="s">
        <v>103</v>
      </c>
      <c r="D27" s="11">
        <v>-128.08</v>
      </c>
      <c r="E27" s="12">
        <v>52877.5</v>
      </c>
      <c r="F27" s="10" t="s">
        <v>126</v>
      </c>
      <c r="G27" s="10"/>
      <c r="H27" s="10" t="s">
        <v>99</v>
      </c>
    </row>
    <row r="28">
      <c r="A28" s="9">
        <v>46000.0</v>
      </c>
      <c r="B28" s="9">
        <v>46000.0</v>
      </c>
      <c r="C28" s="10" t="s">
        <v>101</v>
      </c>
      <c r="D28" s="14">
        <v>-1180.0</v>
      </c>
      <c r="E28" s="12">
        <v>51697.5</v>
      </c>
      <c r="F28" s="10" t="s">
        <v>127</v>
      </c>
      <c r="G28" s="10" t="s">
        <v>21</v>
      </c>
      <c r="H28" s="10" t="s">
        <v>96</v>
      </c>
    </row>
    <row r="29">
      <c r="A29" s="9">
        <v>46001.0</v>
      </c>
      <c r="B29" s="9">
        <v>46001.0</v>
      </c>
      <c r="C29" s="10" t="s">
        <v>116</v>
      </c>
      <c r="D29" s="14">
        <v>-25000.0</v>
      </c>
      <c r="E29" s="11">
        <v>53514.67</v>
      </c>
      <c r="F29" s="10" t="s">
        <v>128</v>
      </c>
      <c r="G29" s="10" t="s">
        <v>21</v>
      </c>
      <c r="H29" s="10" t="s">
        <v>96</v>
      </c>
    </row>
    <row r="30">
      <c r="A30" s="9">
        <v>46007.0</v>
      </c>
      <c r="B30" s="9">
        <v>46007.0</v>
      </c>
      <c r="C30" s="10" t="s">
        <v>103</v>
      </c>
      <c r="D30" s="11">
        <v>-35.04</v>
      </c>
      <c r="E30" s="11">
        <v>-5104.01</v>
      </c>
      <c r="F30" s="10" t="s">
        <v>129</v>
      </c>
      <c r="G30" s="10"/>
      <c r="H30" s="10" t="s">
        <v>99</v>
      </c>
    </row>
    <row r="31">
      <c r="A31" s="9">
        <v>46022.0</v>
      </c>
      <c r="B31" s="9">
        <v>46022.0</v>
      </c>
      <c r="C31" s="10" t="s">
        <v>130</v>
      </c>
      <c r="D31" s="11">
        <v>-2.54</v>
      </c>
      <c r="E31" s="11">
        <v>22178.68</v>
      </c>
      <c r="F31" s="10" t="s">
        <v>131</v>
      </c>
      <c r="G31" s="10"/>
      <c r="H31" s="10" t="s">
        <v>22</v>
      </c>
    </row>
    <row r="32">
      <c r="A32" s="9">
        <v>46022.0</v>
      </c>
      <c r="B32" s="9">
        <v>46022.0</v>
      </c>
      <c r="C32" s="10" t="s">
        <v>110</v>
      </c>
      <c r="D32" s="11">
        <v>-246.58</v>
      </c>
      <c r="E32" s="12">
        <v>21932.1</v>
      </c>
      <c r="F32" s="10" t="s">
        <v>132</v>
      </c>
      <c r="G32" s="10"/>
      <c r="H32" s="10" t="s">
        <v>99</v>
      </c>
    </row>
    <row r="33"/>
    <row r="34">
      <c r="C34" s="1" t="s">
        <v>133</v>
      </c>
      <c r="D34" s="2">
        <f>SUM('פירוט עסקאות וזיכויים'!C18:D18)*-1</f>
        <v>-9518.655</v>
      </c>
    </row>
    <row r="35"/>
    <row r="36">
      <c r="C36" s="1" t="s">
        <v>134</v>
      </c>
      <c r="D36" s="3">
        <f>SUM(D5:D35)*-1</f>
        <v>101702.955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75"/>
  <cols>
    <col customWidth="1" min="1" max="1" width="9.38"/>
    <col customWidth="1" min="2" max="2" width="29.0"/>
    <col customWidth="1" min="3" max="3" width="12.88"/>
    <col customWidth="1" min="4" max="4" width="11.0"/>
    <col customWidth="1" min="5" max="5" width="9.63"/>
    <col customWidth="1" min="6" max="6" width="9.38"/>
    <col customWidth="1" min="7" max="7" width="10.5"/>
    <col customWidth="1" min="8" max="8" width="13.38"/>
    <col customWidth="1" min="9" max="9" width="24.5"/>
    <col customWidth="1" min="10" max="26" width="7.63"/>
  </cols>
  <sheetData>
    <row r="1">
      <c r="A1" s="15" t="s">
        <v>135</v>
      </c>
    </row>
    <row r="2">
      <c r="A2" s="16" t="s">
        <v>136</v>
      </c>
      <c r="B2" s="17" t="s">
        <v>137</v>
      </c>
      <c r="C2" s="16" t="s">
        <v>138</v>
      </c>
      <c r="D2" s="16" t="s">
        <v>139</v>
      </c>
      <c r="E2" s="17" t="s">
        <v>140</v>
      </c>
      <c r="F2" s="16" t="s">
        <v>141</v>
      </c>
      <c r="G2" s="16" t="s">
        <v>142</v>
      </c>
      <c r="H2" s="16" t="s">
        <v>143</v>
      </c>
      <c r="I2" s="17" t="s">
        <v>144</v>
      </c>
    </row>
    <row r="3">
      <c r="A3" s="18">
        <v>46019.0</v>
      </c>
      <c r="B3" s="19" t="s">
        <v>145</v>
      </c>
      <c r="C3" s="20">
        <v>134.9</v>
      </c>
      <c r="D3" s="21"/>
      <c r="E3" s="19" t="s">
        <v>146</v>
      </c>
      <c r="F3" s="18">
        <v>46037.0</v>
      </c>
      <c r="G3" s="19" t="s">
        <v>147</v>
      </c>
      <c r="H3" s="21"/>
      <c r="I3" s="21"/>
    </row>
    <row r="4">
      <c r="A4" s="18">
        <v>46016.0</v>
      </c>
      <c r="B4" s="21" t="s">
        <v>148</v>
      </c>
      <c r="C4" s="21"/>
      <c r="D4" s="22">
        <v>480.95</v>
      </c>
      <c r="E4" s="19" t="s">
        <v>149</v>
      </c>
      <c r="F4" s="18">
        <v>46037.0</v>
      </c>
      <c r="G4" s="19" t="s">
        <v>150</v>
      </c>
      <c r="H4" s="23">
        <v>5535.0</v>
      </c>
      <c r="I4" s="19" t="s">
        <v>151</v>
      </c>
    </row>
    <row r="5">
      <c r="A5" s="18">
        <v>46008.0</v>
      </c>
      <c r="B5" s="19" t="s">
        <v>152</v>
      </c>
      <c r="C5" s="20">
        <v>19.8</v>
      </c>
      <c r="D5" s="21"/>
      <c r="E5" s="19" t="s">
        <v>146</v>
      </c>
      <c r="F5" s="18">
        <v>46037.0</v>
      </c>
      <c r="G5" s="19" t="s">
        <v>153</v>
      </c>
      <c r="H5" s="21"/>
      <c r="I5" s="21"/>
    </row>
    <row r="6">
      <c r="A6" s="18">
        <v>46008.0</v>
      </c>
      <c r="B6" s="19" t="s">
        <v>152</v>
      </c>
      <c r="C6" s="20">
        <v>19.8</v>
      </c>
      <c r="D6" s="21"/>
      <c r="E6" s="19" t="s">
        <v>149</v>
      </c>
      <c r="F6" s="18">
        <v>46037.0</v>
      </c>
      <c r="G6" s="19" t="s">
        <v>153</v>
      </c>
      <c r="H6" s="21"/>
      <c r="I6" s="21"/>
    </row>
    <row r="7">
      <c r="A7" s="18">
        <v>46008.0</v>
      </c>
      <c r="B7" s="19" t="s">
        <v>152</v>
      </c>
      <c r="C7" s="20">
        <v>19.8</v>
      </c>
      <c r="D7" s="21"/>
      <c r="E7" s="19" t="s">
        <v>154</v>
      </c>
      <c r="F7" s="18">
        <v>46037.0</v>
      </c>
      <c r="G7" s="19" t="s">
        <v>153</v>
      </c>
      <c r="H7" s="21"/>
      <c r="I7" s="21"/>
    </row>
    <row r="8">
      <c r="A8" s="18">
        <v>45998.0</v>
      </c>
      <c r="B8" s="21" t="s">
        <v>148</v>
      </c>
      <c r="C8" s="21"/>
      <c r="D8" s="22">
        <v>295.0</v>
      </c>
      <c r="E8" s="19" t="s">
        <v>149</v>
      </c>
      <c r="F8" s="18">
        <v>46006.0</v>
      </c>
      <c r="G8" s="19" t="s">
        <v>150</v>
      </c>
      <c r="H8" s="23">
        <v>5535.0</v>
      </c>
      <c r="I8" s="19" t="s">
        <v>155</v>
      </c>
    </row>
    <row r="9">
      <c r="A9" s="18">
        <v>45992.0</v>
      </c>
      <c r="B9" s="19" t="s">
        <v>156</v>
      </c>
      <c r="C9" s="20">
        <v>2179.33</v>
      </c>
      <c r="D9" s="21"/>
      <c r="E9" s="19" t="s">
        <v>146</v>
      </c>
      <c r="F9" s="18">
        <v>46006.0</v>
      </c>
      <c r="G9" s="19" t="s">
        <v>147</v>
      </c>
      <c r="H9" s="21"/>
      <c r="I9" s="21"/>
    </row>
    <row r="10">
      <c r="A10" s="18">
        <v>45986.0</v>
      </c>
      <c r="B10" s="21" t="s">
        <v>148</v>
      </c>
      <c r="C10" s="21"/>
      <c r="D10" s="22">
        <v>473.2</v>
      </c>
      <c r="E10" s="19" t="s">
        <v>149</v>
      </c>
      <c r="F10" s="18">
        <v>46006.0</v>
      </c>
      <c r="G10" s="19" t="s">
        <v>150</v>
      </c>
      <c r="H10" s="23">
        <v>5535.0</v>
      </c>
      <c r="I10" s="19" t="s">
        <v>157</v>
      </c>
    </row>
    <row r="11">
      <c r="A11" s="18">
        <v>45978.0</v>
      </c>
      <c r="B11" s="19" t="s">
        <v>152</v>
      </c>
      <c r="C11" s="20">
        <v>19.8</v>
      </c>
      <c r="D11" s="21"/>
      <c r="E11" s="19" t="s">
        <v>146</v>
      </c>
      <c r="F11" s="18">
        <v>46006.0</v>
      </c>
      <c r="G11" s="19" t="s">
        <v>153</v>
      </c>
      <c r="H11" s="21"/>
      <c r="I11" s="21"/>
    </row>
    <row r="12">
      <c r="A12" s="18">
        <v>45978.0</v>
      </c>
      <c r="B12" s="19" t="s">
        <v>152</v>
      </c>
      <c r="C12" s="20">
        <v>19.8</v>
      </c>
      <c r="D12" s="21"/>
      <c r="E12" s="19" t="s">
        <v>149</v>
      </c>
      <c r="F12" s="18">
        <v>46006.0</v>
      </c>
      <c r="G12" s="19" t="s">
        <v>153</v>
      </c>
      <c r="H12" s="21"/>
      <c r="I12" s="21"/>
    </row>
    <row r="13">
      <c r="A13" s="18">
        <v>45978.0</v>
      </c>
      <c r="B13" s="19" t="s">
        <v>152</v>
      </c>
      <c r="C13" s="20">
        <v>19.8</v>
      </c>
      <c r="D13" s="21"/>
      <c r="E13" s="19" t="s">
        <v>154</v>
      </c>
      <c r="F13" s="18">
        <v>46006.0</v>
      </c>
      <c r="G13" s="19" t="s">
        <v>153</v>
      </c>
      <c r="H13" s="21"/>
      <c r="I13" s="21"/>
    </row>
    <row r="14">
      <c r="A14" s="18">
        <v>45963.0</v>
      </c>
      <c r="B14" s="21" t="s">
        <v>148</v>
      </c>
      <c r="C14" s="21"/>
      <c r="D14" s="22">
        <v>295.0</v>
      </c>
      <c r="E14" s="19" t="s">
        <v>149</v>
      </c>
      <c r="F14" s="18">
        <v>45976.0</v>
      </c>
      <c r="G14" s="19" t="s">
        <v>150</v>
      </c>
      <c r="H14" s="23">
        <v>5535.0</v>
      </c>
      <c r="I14" s="24" t="s">
        <v>158</v>
      </c>
    </row>
    <row r="15">
      <c r="A15" s="18">
        <v>45962.0</v>
      </c>
      <c r="B15" s="19" t="s">
        <v>156</v>
      </c>
      <c r="C15" s="20">
        <v>1989.93</v>
      </c>
      <c r="D15" s="25">
        <f>SUM(D3:D14)</f>
        <v>1544.15</v>
      </c>
      <c r="E15" s="19" t="s">
        <v>146</v>
      </c>
      <c r="F15" s="18">
        <v>45976.0</v>
      </c>
      <c r="G15" s="19" t="s">
        <v>147</v>
      </c>
      <c r="H15" s="21"/>
      <c r="I15" s="21"/>
    </row>
    <row r="16"/>
    <row r="17"/>
    <row r="18">
      <c r="A18" s="1" t="s">
        <v>159</v>
      </c>
      <c r="C18" s="3">
        <f>SUM(C2:C15)</f>
        <v>4422.96</v>
      </c>
      <c r="D18" s="3">
        <f>D15*3.3</f>
        <v>5095.695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</sheetData>
  <mergeCells count="1">
    <mergeCell ref="A1:I1"/>
  </mergeCells>
  <printOptions/>
  <pageMargins bottom="0.75" footer="0.0" header="0.0" left="0.252" right="0.252" top="0.75"/>
  <pageSetup orientation="landscape"/>
  <drawing r:id="rId1"/>
</worksheet>
</file>